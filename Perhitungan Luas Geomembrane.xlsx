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ANDI PROJECT\PROJECT FOLLOW UP\2026_07_Kolam penampungan air bersih tanjung enim sumsel - HDPE Geomembrane\Perhitungan kuantiti\"/>
    </mc:Choice>
  </mc:AlternateContent>
  <xr:revisionPtr revIDLastSave="0" documentId="13_ncr:1_{49071FFC-E182-4923-A1D9-9D0904F6BEC6}" xr6:coauthVersionLast="47" xr6:coauthVersionMax="47" xr10:uidLastSave="{00000000-0000-0000-0000-000000000000}"/>
  <bookViews>
    <workbookView xWindow="-28920" yWindow="-120" windowWidth="29040" windowHeight="15720" xr2:uid="{ACAA17B1-0913-4B7D-A348-6775DAE1716A}"/>
  </bookViews>
  <sheets>
    <sheet name="Geomembrane 2 m" sheetId="3" r:id="rId1"/>
  </sheets>
  <definedNames>
    <definedName name="_xlnm.Print_Area" localSheetId="0">'Geomembrane 2 m'!$A$1:$X$58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2" i="3" l="1"/>
  <c r="K56" i="3"/>
  <c r="N51" i="3"/>
  <c r="H47" i="3"/>
  <c r="B43" i="3"/>
  <c r="J41" i="3"/>
  <c r="E35" i="3" s="1"/>
  <c r="F35" i="3"/>
  <c r="F33" i="3"/>
  <c r="L20" i="3"/>
  <c r="K20" i="3"/>
  <c r="J20" i="3"/>
  <c r="I20" i="3"/>
  <c r="Q16" i="3"/>
  <c r="P16" i="3"/>
  <c r="S15" i="3"/>
  <c r="Q15" i="3"/>
  <c r="P15" i="3"/>
  <c r="W11" i="3"/>
  <c r="W10" i="3"/>
  <c r="Q8" i="3"/>
  <c r="Q7" i="3"/>
  <c r="Q6" i="3"/>
  <c r="Q5" i="3"/>
  <c r="Q4" i="3"/>
  <c r="Q3" i="3"/>
  <c r="Q2" i="3"/>
  <c r="O1" i="3"/>
  <c r="J22" i="3" l="1"/>
  <c r="W13" i="3" s="1"/>
  <c r="W15" i="3" s="1"/>
  <c r="W12" i="3"/>
  <c r="K22" i="3" l="1"/>
  <c r="W18" i="3" s="1"/>
  <c r="W14" i="3"/>
  <c r="W16" i="3" l="1"/>
  <c r="L22" i="3"/>
  <c r="W17" i="3" s="1"/>
  <c r="W19" i="3" l="1"/>
  <c r="W20" i="3" s="1"/>
</calcChain>
</file>

<file path=xl/sharedStrings.xml><?xml version="1.0" encoding="utf-8"?>
<sst xmlns="http://schemas.openxmlformats.org/spreadsheetml/2006/main" count="61" uniqueCount="40">
  <si>
    <t>PERHITUNGAN VOLUME GEOMEMBRANE</t>
  </si>
  <si>
    <t>Proyek</t>
  </si>
  <si>
    <t>Lokasi</t>
  </si>
  <si>
    <t>Client</t>
  </si>
  <si>
    <t>Marketing</t>
  </si>
  <si>
    <t>Designer</t>
  </si>
  <si>
    <t>Tanggal</t>
  </si>
  <si>
    <t>No. Rev.</t>
  </si>
  <si>
    <t>DENAH KOLAM</t>
  </si>
  <si>
    <t>:</t>
  </si>
  <si>
    <t>m</t>
  </si>
  <si>
    <t>Satuan:</t>
  </si>
  <si>
    <t>Panjang</t>
  </si>
  <si>
    <t>Data input:</t>
  </si>
  <si>
    <t>Waste</t>
  </si>
  <si>
    <t>=</t>
  </si>
  <si>
    <t>%</t>
  </si>
  <si>
    <t>Tipe lereng:</t>
  </si>
  <si>
    <t>Kemiringan dalam derajat</t>
  </si>
  <si>
    <t>Kemiringan dalam perbandingan (V:H)</t>
  </si>
  <si>
    <t>Bidang</t>
  </si>
  <si>
    <t>A</t>
  </si>
  <si>
    <t>C</t>
  </si>
  <si>
    <t>D</t>
  </si>
  <si>
    <t>E</t>
  </si>
  <si>
    <t>F</t>
  </si>
  <si>
    <t>G</t>
  </si>
  <si>
    <t>H</t>
  </si>
  <si>
    <t>Total luas</t>
  </si>
  <si>
    <t>Total luas + waste</t>
  </si>
  <si>
    <t>B</t>
  </si>
  <si>
    <t xml:space="preserve">Tipe lereng </t>
  </si>
  <si>
    <t>°</t>
  </si>
  <si>
    <t>α</t>
  </si>
  <si>
    <t>Sandi</t>
  </si>
  <si>
    <t>Kolam Penampungan Air</t>
  </si>
  <si>
    <t>Tanjung Enim - Sumatera Selatan</t>
  </si>
  <si>
    <t>Bapak Ferdy manda</t>
  </si>
  <si>
    <t>Total kolam</t>
  </si>
  <si>
    <t>Total kuantiti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</si>
</sst>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FF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BF2FD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3" borderId="5" xfId="0" applyFont="1" applyFill="1" applyBorder="1"/>
    <xf numFmtId="0" fontId="2" fillId="3" borderId="1" xfId="0" applyFont="1" applyFill="1" applyBorder="1"/>
    <xf numFmtId="0" fontId="2" fillId="3" borderId="6" xfId="0" applyFont="1" applyFill="1" applyBorder="1"/>
    <xf numFmtId="0" fontId="2" fillId="2" borderId="0" xfId="0" applyFont="1" applyFill="1"/>
    <xf numFmtId="0" fontId="2" fillId="3" borderId="9" xfId="0" applyFont="1" applyFill="1" applyBorder="1"/>
    <xf numFmtId="0" fontId="2" fillId="3" borderId="2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2" fillId="3" borderId="2" xfId="0" applyFont="1" applyFill="1" applyBorder="1" applyAlignment="1">
      <alignment horizontal="right"/>
    </xf>
    <xf numFmtId="0" fontId="2" fillId="3" borderId="10" xfId="0" applyFont="1" applyFill="1" applyBorder="1"/>
    <xf numFmtId="0" fontId="2" fillId="3" borderId="9" xfId="0" applyFont="1" applyFill="1" applyBorder="1" applyAlignment="1">
      <alignment horizontal="left" vertical="center"/>
    </xf>
    <xf numFmtId="0" fontId="1" fillId="2" borderId="4" xfId="0" applyFont="1" applyFill="1" applyBorder="1"/>
    <xf numFmtId="0" fontId="2" fillId="2" borderId="4" xfId="0" applyFont="1" applyFill="1" applyBorder="1"/>
    <xf numFmtId="0" fontId="2" fillId="2" borderId="0" xfId="0" applyFont="1" applyFill="1" applyAlignment="1">
      <alignment horizontal="right"/>
    </xf>
    <xf numFmtId="0" fontId="3" fillId="2" borderId="0" xfId="0" applyFont="1" applyFill="1"/>
    <xf numFmtId="164" fontId="2" fillId="2" borderId="0" xfId="0" applyNumberFormat="1" applyFont="1" applyFill="1"/>
    <xf numFmtId="0" fontId="2" fillId="2" borderId="3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11" xfId="0" applyFont="1" applyFill="1" applyBorder="1"/>
    <xf numFmtId="0" fontId="4" fillId="2" borderId="0" xfId="0" applyFont="1" applyFill="1"/>
    <xf numFmtId="2" fontId="2" fillId="2" borderId="0" xfId="0" applyNumberFormat="1" applyFont="1" applyFill="1" applyAlignment="1">
      <alignment horizontal="right" vertical="center" textRotation="90"/>
    </xf>
    <xf numFmtId="2" fontId="6" fillId="2" borderId="0" xfId="0" applyNumberFormat="1" applyFont="1" applyFill="1" applyAlignment="1">
      <alignment horizontal="right" vertical="center" textRotation="90"/>
    </xf>
    <xf numFmtId="2" fontId="2" fillId="2" borderId="0" xfId="0" applyNumberFormat="1" applyFont="1" applyFill="1"/>
    <xf numFmtId="0" fontId="5" fillId="2" borderId="0" xfId="0" applyFont="1" applyFill="1"/>
    <xf numFmtId="0" fontId="3" fillId="2" borderId="0" xfId="0" applyFont="1" applyFill="1" applyProtection="1">
      <protection locked="0"/>
    </xf>
    <xf numFmtId="0" fontId="3" fillId="2" borderId="3" xfId="0" applyFont="1" applyFill="1" applyBorder="1" applyProtection="1">
      <protection locked="0"/>
    </xf>
    <xf numFmtId="2" fontId="3" fillId="2" borderId="0" xfId="0" applyNumberFormat="1" applyFont="1" applyFill="1" applyAlignment="1" applyProtection="1">
      <alignment horizontal="right" vertical="center" textRotation="90"/>
      <protection locked="0"/>
    </xf>
    <xf numFmtId="2" fontId="3" fillId="2" borderId="0" xfId="0" applyNumberFormat="1" applyFont="1" applyFill="1" applyProtection="1">
      <protection locked="0"/>
    </xf>
    <xf numFmtId="2" fontId="3" fillId="2" borderId="0" xfId="0" applyNumberFormat="1" applyFont="1" applyFill="1" applyAlignment="1" applyProtection="1">
      <alignment horizontal="center"/>
      <protection locked="0"/>
    </xf>
    <xf numFmtId="0" fontId="3" fillId="3" borderId="10" xfId="0" applyFont="1" applyFill="1" applyBorder="1" applyProtection="1">
      <protection locked="0"/>
    </xf>
    <xf numFmtId="0" fontId="3" fillId="3" borderId="0" xfId="0" applyFont="1" applyFill="1" applyProtection="1">
      <protection locked="0"/>
    </xf>
    <xf numFmtId="2" fontId="3" fillId="3" borderId="2" xfId="0" applyNumberFormat="1" applyFont="1" applyFill="1" applyBorder="1" applyProtection="1">
      <protection locked="0"/>
    </xf>
    <xf numFmtId="0" fontId="2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2" fontId="2" fillId="2" borderId="14" xfId="0" applyNumberFormat="1" applyFont="1" applyFill="1" applyBorder="1" applyAlignment="1">
      <alignment horizontal="right" vertical="center"/>
    </xf>
    <xf numFmtId="2" fontId="2" fillId="2" borderId="15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textRotation="90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2" fontId="2" fillId="2" borderId="0" xfId="0" applyNumberFormat="1" applyFont="1" applyFill="1" applyAlignment="1">
      <alignment horizontal="right"/>
    </xf>
    <xf numFmtId="2" fontId="7" fillId="3" borderId="14" xfId="0" applyNumberFormat="1" applyFont="1" applyFill="1" applyBorder="1" applyAlignment="1">
      <alignment horizontal="right" vertical="center"/>
    </xf>
    <xf numFmtId="2" fontId="7" fillId="3" borderId="15" xfId="0" applyNumberFormat="1" applyFont="1" applyFill="1" applyBorder="1" applyAlignment="1">
      <alignment horizontal="right" vertical="center"/>
    </xf>
    <xf numFmtId="0" fontId="1" fillId="2" borderId="0" xfId="0" applyFont="1" applyFill="1"/>
    <xf numFmtId="0" fontId="1" fillId="2" borderId="0" xfId="0" applyFont="1" applyFill="1" applyAlignment="1">
      <alignment vertical="top"/>
    </xf>
    <xf numFmtId="1" fontId="1" fillId="2" borderId="0" xfId="0" applyNumberFormat="1" applyFont="1" applyFill="1" applyAlignment="1">
      <alignment vertical="top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  <color rgb="FFBBF2FD"/>
      <color rgb="FFDEF9FE"/>
      <color rgb="FFBAF1FC"/>
      <color rgb="FF0000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215348</xdr:colOff>
      <xdr:row>43</xdr:row>
      <xdr:rowOff>115957</xdr:rowOff>
    </xdr:from>
    <xdr:to>
      <xdr:col>11</xdr:col>
      <xdr:colOff>282271</xdr:colOff>
      <xdr:row>54</xdr:row>
      <xdr:rowOff>74546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70B04A-1661-475A-926B-6A177FD725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836" t="7888" r="18807" b="11801"/>
        <a:stretch/>
      </xdr:blipFill>
      <xdr:spPr>
        <a:xfrm>
          <a:off x="3716738" y="7850257"/>
          <a:ext cx="1769993" cy="1844539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</xdr:col>
      <xdr:colOff>220886</xdr:colOff>
      <xdr:row>10</xdr:row>
      <xdr:rowOff>85725</xdr:rowOff>
    </xdr:from>
    <xdr:to>
      <xdr:col>7</xdr:col>
      <xdr:colOff>246221</xdr:colOff>
      <xdr:row>31</xdr:row>
      <xdr:rowOff>2303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0DD355-E495-407B-A06C-03E07CF63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3381" y="1811655"/>
          <a:ext cx="2621850" cy="3867548"/>
        </a:xfrm>
        <a:prstGeom prst="rect">
          <a:avLst/>
        </a:prstGeom>
        <a:ln w="9525">
          <a:noFill/>
        </a:ln>
      </xdr:spPr>
    </xdr:pic>
    <xdr:clientData/>
  </xdr:twoCellAnchor>
  <xdr:twoCellAnchor>
    <xdr:from>
      <xdr:col>6</xdr:col>
      <xdr:colOff>113109</xdr:colOff>
      <xdr:row>16</xdr:row>
      <xdr:rowOff>91966</xdr:rowOff>
    </xdr:from>
    <xdr:to>
      <xdr:col>9</xdr:col>
      <xdr:colOff>72258</xdr:colOff>
      <xdr:row>16</xdr:row>
      <xdr:rowOff>91966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C5900E2-3756-438E-88E4-A49DE8E90AAC}"/>
            </a:ext>
          </a:extLst>
        </xdr:cNvPr>
        <xdr:cNvCxnSpPr/>
      </xdr:nvCxnSpPr>
      <xdr:spPr>
        <a:xfrm>
          <a:off x="3094434" y="2848501"/>
          <a:ext cx="1395519" cy="0"/>
        </a:xfrm>
        <a:prstGeom prst="line">
          <a:avLst/>
        </a:prstGeom>
        <a:ln w="9525">
          <a:solidFill>
            <a:srgbClr val="0000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374431</xdr:colOff>
      <xdr:row>16</xdr:row>
      <xdr:rowOff>85397</xdr:rowOff>
    </xdr:from>
    <xdr:to>
      <xdr:col>8</xdr:col>
      <xdr:colOff>374431</xdr:colOff>
      <xdr:row>26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24ED8DD-C4EF-4E8F-84D9-8B341FDF5CC0}"/>
            </a:ext>
          </a:extLst>
        </xdr:cNvPr>
        <xdr:cNvCxnSpPr/>
      </xdr:nvCxnSpPr>
      <xdr:spPr>
        <a:xfrm>
          <a:off x="4401601" y="2840027"/>
          <a:ext cx="0" cy="1979623"/>
        </a:xfrm>
        <a:prstGeom prst="straightConnector1">
          <a:avLst/>
        </a:prstGeom>
        <a:ln w="9525">
          <a:solidFill>
            <a:srgbClr val="000001"/>
          </a:solidFill>
          <a:headEnd type="stealth"/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119063</xdr:colOff>
      <xdr:row>26</xdr:row>
      <xdr:rowOff>14452</xdr:rowOff>
    </xdr:from>
    <xdr:to>
      <xdr:col>9</xdr:col>
      <xdr:colOff>73571</xdr:colOff>
      <xdr:row>26</xdr:row>
      <xdr:rowOff>14452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F076AF0-EF11-417F-98C8-086987ECF374}"/>
            </a:ext>
          </a:extLst>
        </xdr:cNvPr>
        <xdr:cNvCxnSpPr/>
      </xdr:nvCxnSpPr>
      <xdr:spPr>
        <a:xfrm>
          <a:off x="3102293" y="4837912"/>
          <a:ext cx="1390878" cy="0"/>
        </a:xfrm>
        <a:prstGeom prst="line">
          <a:avLst/>
        </a:prstGeom>
        <a:ln w="9525">
          <a:solidFill>
            <a:srgbClr val="0000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488156</xdr:colOff>
      <xdr:row>13</xdr:row>
      <xdr:rowOff>106417</xdr:rowOff>
    </xdr:from>
    <xdr:to>
      <xdr:col>10</xdr:col>
      <xdr:colOff>86709</xdr:colOff>
      <xdr:row>13</xdr:row>
      <xdr:rowOff>106417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DAA7FDC-E2F5-4EA4-ABD6-224D6B8009A4}"/>
            </a:ext>
          </a:extLst>
        </xdr:cNvPr>
        <xdr:cNvCxnSpPr/>
      </xdr:nvCxnSpPr>
      <xdr:spPr>
        <a:xfrm>
          <a:off x="3467576" y="2342887"/>
          <a:ext cx="1431163" cy="0"/>
        </a:xfrm>
        <a:prstGeom prst="line">
          <a:avLst/>
        </a:prstGeom>
        <a:ln w="9525">
          <a:solidFill>
            <a:srgbClr val="0000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7882</xdr:colOff>
      <xdr:row>13</xdr:row>
      <xdr:rowOff>98534</xdr:rowOff>
    </xdr:from>
    <xdr:to>
      <xdr:col>10</xdr:col>
      <xdr:colOff>7882</xdr:colOff>
      <xdr:row>29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3934CAC-DBF8-428C-9294-9FA07AA0BD9B}"/>
            </a:ext>
          </a:extLst>
        </xdr:cNvPr>
        <xdr:cNvCxnSpPr/>
      </xdr:nvCxnSpPr>
      <xdr:spPr>
        <a:xfrm>
          <a:off x="4819912" y="2333099"/>
          <a:ext cx="0" cy="3000901"/>
        </a:xfrm>
        <a:prstGeom prst="straightConnector1">
          <a:avLst/>
        </a:prstGeom>
        <a:ln w="9525">
          <a:solidFill>
            <a:srgbClr val="000001"/>
          </a:solidFill>
          <a:headEnd type="stealth"/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488156</xdr:colOff>
      <xdr:row>29</xdr:row>
      <xdr:rowOff>2628</xdr:rowOff>
    </xdr:from>
    <xdr:to>
      <xdr:col>10</xdr:col>
      <xdr:colOff>88022</xdr:colOff>
      <xdr:row>29</xdr:row>
      <xdr:rowOff>2628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DF3683F-304C-43F9-A94F-2D05C4B78A78}"/>
            </a:ext>
          </a:extLst>
        </xdr:cNvPr>
        <xdr:cNvCxnSpPr/>
      </xdr:nvCxnSpPr>
      <xdr:spPr>
        <a:xfrm>
          <a:off x="3467576" y="5336628"/>
          <a:ext cx="1434381" cy="0"/>
        </a:xfrm>
        <a:prstGeom prst="line">
          <a:avLst/>
        </a:prstGeom>
        <a:ln w="9525">
          <a:solidFill>
            <a:srgbClr val="0000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214312</xdr:colOff>
      <xdr:row>11</xdr:row>
      <xdr:rowOff>160282</xdr:rowOff>
    </xdr:from>
    <xdr:to>
      <xdr:col>11</xdr:col>
      <xdr:colOff>81453</xdr:colOff>
      <xdr:row>11</xdr:row>
      <xdr:rowOff>160282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167A1C2-6EA9-4A80-BD65-0D0ADAF5EE06}"/>
            </a:ext>
          </a:extLst>
        </xdr:cNvPr>
        <xdr:cNvCxnSpPr/>
      </xdr:nvCxnSpPr>
      <xdr:spPr>
        <a:xfrm>
          <a:off x="3715702" y="2057662"/>
          <a:ext cx="1568306" cy="0"/>
        </a:xfrm>
        <a:prstGeom prst="line">
          <a:avLst/>
        </a:prstGeom>
        <a:ln w="9525">
          <a:solidFill>
            <a:srgbClr val="0000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2626</xdr:colOff>
      <xdr:row>11</xdr:row>
      <xdr:rowOff>157656</xdr:rowOff>
    </xdr:from>
    <xdr:to>
      <xdr:col>11</xdr:col>
      <xdr:colOff>2626</xdr:colOff>
      <xdr:row>30</xdr:row>
      <xdr:rowOff>6569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F1560273-F8FD-482F-9037-4FAC3A7BF2FF}"/>
            </a:ext>
          </a:extLst>
        </xdr:cNvPr>
        <xdr:cNvCxnSpPr/>
      </xdr:nvCxnSpPr>
      <xdr:spPr>
        <a:xfrm>
          <a:off x="5203276" y="2055036"/>
          <a:ext cx="0" cy="3458888"/>
        </a:xfrm>
        <a:prstGeom prst="straightConnector1">
          <a:avLst/>
        </a:prstGeom>
        <a:ln w="9525">
          <a:solidFill>
            <a:srgbClr val="000001"/>
          </a:solidFill>
          <a:headEnd type="stealth"/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202406</xdr:colOff>
      <xdr:row>30</xdr:row>
      <xdr:rowOff>10510</xdr:rowOff>
    </xdr:from>
    <xdr:to>
      <xdr:col>11</xdr:col>
      <xdr:colOff>82766</xdr:colOff>
      <xdr:row>30</xdr:row>
      <xdr:rowOff>10510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BC11E3A-BCCB-4A5B-8A64-2C794836BD51}"/>
            </a:ext>
          </a:extLst>
        </xdr:cNvPr>
        <xdr:cNvCxnSpPr/>
      </xdr:nvCxnSpPr>
      <xdr:spPr>
        <a:xfrm>
          <a:off x="3711416" y="5517865"/>
          <a:ext cx="1573905" cy="0"/>
        </a:xfrm>
        <a:prstGeom prst="line">
          <a:avLst/>
        </a:prstGeom>
        <a:ln w="9525">
          <a:solidFill>
            <a:srgbClr val="0000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333375</xdr:colOff>
      <xdr:row>11</xdr:row>
      <xdr:rowOff>23647</xdr:rowOff>
    </xdr:from>
    <xdr:to>
      <xdr:col>12</xdr:col>
      <xdr:colOff>76198</xdr:colOff>
      <xdr:row>11</xdr:row>
      <xdr:rowOff>23647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110350E-2B0A-45D7-8FB2-CCDAEFD79D07}"/>
            </a:ext>
          </a:extLst>
        </xdr:cNvPr>
        <xdr:cNvCxnSpPr/>
      </xdr:nvCxnSpPr>
      <xdr:spPr>
        <a:xfrm>
          <a:off x="3836670" y="1915312"/>
          <a:ext cx="1830703" cy="0"/>
        </a:xfrm>
        <a:prstGeom prst="line">
          <a:avLst/>
        </a:prstGeom>
        <a:ln w="9525">
          <a:solidFill>
            <a:srgbClr val="0000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378371</xdr:colOff>
      <xdr:row>11</xdr:row>
      <xdr:rowOff>26276</xdr:rowOff>
    </xdr:from>
    <xdr:to>
      <xdr:col>11</xdr:col>
      <xdr:colOff>378371</xdr:colOff>
      <xdr:row>30</xdr:row>
      <xdr:rowOff>137948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C2353EE-CB45-4ABE-ABF5-C356D4CB2E6A}"/>
            </a:ext>
          </a:extLst>
        </xdr:cNvPr>
        <xdr:cNvCxnSpPr/>
      </xdr:nvCxnSpPr>
      <xdr:spPr>
        <a:xfrm>
          <a:off x="5579021" y="1917941"/>
          <a:ext cx="0" cy="3721647"/>
        </a:xfrm>
        <a:prstGeom prst="straightConnector1">
          <a:avLst/>
        </a:prstGeom>
        <a:ln w="9525">
          <a:solidFill>
            <a:srgbClr val="000001"/>
          </a:solidFill>
          <a:headEnd type="stealth"/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327422</xdr:colOff>
      <xdr:row>30</xdr:row>
      <xdr:rowOff>149772</xdr:rowOff>
    </xdr:from>
    <xdr:to>
      <xdr:col>12</xdr:col>
      <xdr:colOff>77511</xdr:colOff>
      <xdr:row>30</xdr:row>
      <xdr:rowOff>149772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7AF9D9B-8F48-46A0-971D-B27807130CB6}"/>
            </a:ext>
          </a:extLst>
        </xdr:cNvPr>
        <xdr:cNvCxnSpPr/>
      </xdr:nvCxnSpPr>
      <xdr:spPr>
        <a:xfrm>
          <a:off x="3828812" y="5655222"/>
          <a:ext cx="1839874" cy="0"/>
        </a:xfrm>
        <a:prstGeom prst="line">
          <a:avLst/>
        </a:prstGeom>
        <a:ln w="9525">
          <a:solidFill>
            <a:srgbClr val="0000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501995</xdr:colOff>
      <xdr:row>26</xdr:row>
      <xdr:rowOff>77391</xdr:rowOff>
    </xdr:from>
    <xdr:to>
      <xdr:col>3</xdr:col>
      <xdr:colOff>501995</xdr:colOff>
      <xdr:row>33</xdr:row>
      <xdr:rowOff>105103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32A8C84E-A485-42F0-A2AF-8DB4E4F35A23}"/>
            </a:ext>
          </a:extLst>
        </xdr:cNvPr>
        <xdr:cNvCxnSpPr/>
      </xdr:nvCxnSpPr>
      <xdr:spPr>
        <a:xfrm flipV="1">
          <a:off x="1875500" y="4897041"/>
          <a:ext cx="0" cy="1225957"/>
        </a:xfrm>
        <a:prstGeom prst="line">
          <a:avLst/>
        </a:prstGeom>
        <a:ln w="9525">
          <a:solidFill>
            <a:srgbClr val="0000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507248</xdr:colOff>
      <xdr:row>33</xdr:row>
      <xdr:rowOff>8499</xdr:rowOff>
    </xdr:from>
    <xdr:to>
      <xdr:col>6</xdr:col>
      <xdr:colOff>60968</xdr:colOff>
      <xdr:row>33</xdr:row>
      <xdr:rowOff>8499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66689989-544B-4E07-9FD0-5AA72550A80B}"/>
            </a:ext>
          </a:extLst>
        </xdr:cNvPr>
        <xdr:cNvCxnSpPr/>
      </xdr:nvCxnSpPr>
      <xdr:spPr>
        <a:xfrm>
          <a:off x="1882658" y="6030204"/>
          <a:ext cx="1155825" cy="0"/>
        </a:xfrm>
        <a:prstGeom prst="straightConnector1">
          <a:avLst/>
        </a:prstGeom>
        <a:ln w="9525">
          <a:solidFill>
            <a:srgbClr val="000001"/>
          </a:solidFill>
          <a:headEnd type="stealth"/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45742</xdr:colOff>
      <xdr:row>26</xdr:row>
      <xdr:rowOff>77391</xdr:rowOff>
    </xdr:from>
    <xdr:to>
      <xdr:col>6</xdr:col>
      <xdr:colOff>45742</xdr:colOff>
      <xdr:row>33</xdr:row>
      <xdr:rowOff>98534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904E356C-42F7-4AD8-AA5D-70F7A7596B66}"/>
            </a:ext>
          </a:extLst>
        </xdr:cNvPr>
        <xdr:cNvCxnSpPr/>
      </xdr:nvCxnSpPr>
      <xdr:spPr>
        <a:xfrm flipV="1">
          <a:off x="3028972" y="4897041"/>
          <a:ext cx="0" cy="1217483"/>
        </a:xfrm>
        <a:prstGeom prst="line">
          <a:avLst/>
        </a:prstGeom>
        <a:ln w="9525">
          <a:solidFill>
            <a:srgbClr val="0000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142426</xdr:colOff>
      <xdr:row>29</xdr:row>
      <xdr:rowOff>53578</xdr:rowOff>
    </xdr:from>
    <xdr:to>
      <xdr:col>3</xdr:col>
      <xdr:colOff>142426</xdr:colOff>
      <xdr:row>35</xdr:row>
      <xdr:rowOff>83344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0DAD8B7-D403-43ED-AB9A-7A1215BCAB0C}"/>
            </a:ext>
          </a:extLst>
        </xdr:cNvPr>
        <xdr:cNvCxnSpPr/>
      </xdr:nvCxnSpPr>
      <xdr:spPr>
        <a:xfrm flipV="1">
          <a:off x="1512121" y="5391388"/>
          <a:ext cx="0" cy="1056561"/>
        </a:xfrm>
        <a:prstGeom prst="line">
          <a:avLst/>
        </a:prstGeom>
        <a:ln w="9525">
          <a:solidFill>
            <a:srgbClr val="0000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154781</xdr:colOff>
      <xdr:row>35</xdr:row>
      <xdr:rowOff>6119</xdr:rowOff>
    </xdr:from>
    <xdr:to>
      <xdr:col>6</xdr:col>
      <xdr:colOff>404813</xdr:colOff>
      <xdr:row>35</xdr:row>
      <xdr:rowOff>6119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487F6CB7-4145-41F2-A31F-59D49EE0FBCE}"/>
            </a:ext>
          </a:extLst>
        </xdr:cNvPr>
        <xdr:cNvCxnSpPr/>
      </xdr:nvCxnSpPr>
      <xdr:spPr>
        <a:xfrm>
          <a:off x="1526381" y="6370724"/>
          <a:ext cx="1855947" cy="0"/>
        </a:xfrm>
        <a:prstGeom prst="straightConnector1">
          <a:avLst/>
        </a:prstGeom>
        <a:ln w="9525">
          <a:solidFill>
            <a:srgbClr val="000001"/>
          </a:solidFill>
          <a:headEnd type="stealth"/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412454</xdr:colOff>
      <xdr:row>29</xdr:row>
      <xdr:rowOff>65484</xdr:rowOff>
    </xdr:from>
    <xdr:to>
      <xdr:col>6</xdr:col>
      <xdr:colOff>412454</xdr:colOff>
      <xdr:row>35</xdr:row>
      <xdr:rowOff>77391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152EFC6-43B5-45CD-8EC4-C72FF2BC0527}"/>
            </a:ext>
          </a:extLst>
        </xdr:cNvPr>
        <xdr:cNvCxnSpPr/>
      </xdr:nvCxnSpPr>
      <xdr:spPr>
        <a:xfrm flipV="1">
          <a:off x="3391874" y="5397579"/>
          <a:ext cx="0" cy="1042512"/>
        </a:xfrm>
        <a:prstGeom prst="line">
          <a:avLst/>
        </a:prstGeom>
        <a:ln w="9525">
          <a:solidFill>
            <a:srgbClr val="0000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381002</xdr:colOff>
      <xdr:row>39</xdr:row>
      <xdr:rowOff>43962</xdr:rowOff>
    </xdr:from>
    <xdr:to>
      <xdr:col>8</xdr:col>
      <xdr:colOff>91440</xdr:colOff>
      <xdr:row>44</xdr:row>
      <xdr:rowOff>117229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D3A5B2D-D305-4268-9399-854D9CB90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alphaModFix/>
        </a:blip>
        <a:stretch>
          <a:fillRect/>
        </a:stretch>
      </xdr:blipFill>
      <xdr:spPr>
        <a:xfrm>
          <a:off x="838202" y="7094367"/>
          <a:ext cx="3286123" cy="928612"/>
        </a:xfrm>
        <a:prstGeom prst="rect">
          <a:avLst/>
        </a:prstGeom>
        <a:ln w="9525">
          <a:noFill/>
        </a:ln>
      </xdr:spPr>
    </xdr:pic>
    <xdr:clientData/>
  </xdr:twoCellAnchor>
  <xdr:twoCellAnchor>
    <xdr:from>
      <xdr:col>1</xdr:col>
      <xdr:colOff>131885</xdr:colOff>
      <xdr:row>41</xdr:row>
      <xdr:rowOff>26835</xdr:rowOff>
    </xdr:from>
    <xdr:to>
      <xdr:col>1</xdr:col>
      <xdr:colOff>381000</xdr:colOff>
      <xdr:row>41</xdr:row>
      <xdr:rowOff>26835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12880B5D-7FAC-4A33-AE6F-537215081264}"/>
            </a:ext>
          </a:extLst>
        </xdr:cNvPr>
        <xdr:cNvCxnSpPr/>
      </xdr:nvCxnSpPr>
      <xdr:spPr>
        <a:xfrm>
          <a:off x="592895" y="7416330"/>
          <a:ext cx="245305" cy="0"/>
        </a:xfrm>
        <a:prstGeom prst="line">
          <a:avLst/>
        </a:prstGeom>
        <a:ln w="9525">
          <a:solidFill>
            <a:srgbClr val="0000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215326</xdr:colOff>
      <xdr:row>41</xdr:row>
      <xdr:rowOff>36634</xdr:rowOff>
    </xdr:from>
    <xdr:to>
      <xdr:col>1</xdr:col>
      <xdr:colOff>215326</xdr:colOff>
      <xdr:row>43</xdr:row>
      <xdr:rowOff>131885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80FF6D00-A8D8-4464-B068-DF7D37849C38}"/>
            </a:ext>
          </a:extLst>
        </xdr:cNvPr>
        <xdr:cNvCxnSpPr/>
      </xdr:nvCxnSpPr>
      <xdr:spPr>
        <a:xfrm>
          <a:off x="668716" y="7428034"/>
          <a:ext cx="0" cy="441961"/>
        </a:xfrm>
        <a:prstGeom prst="straightConnector1">
          <a:avLst/>
        </a:prstGeom>
        <a:ln w="9525">
          <a:solidFill>
            <a:srgbClr val="000001"/>
          </a:solidFill>
          <a:headEnd type="stealth"/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146539</xdr:colOff>
      <xdr:row>43</xdr:row>
      <xdr:rowOff>135528</xdr:rowOff>
    </xdr:from>
    <xdr:to>
      <xdr:col>3</xdr:col>
      <xdr:colOff>432288</xdr:colOff>
      <xdr:row>43</xdr:row>
      <xdr:rowOff>135528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440038EF-69EE-4084-A1DA-B1F4D13AAB2D}"/>
            </a:ext>
          </a:extLst>
        </xdr:cNvPr>
        <xdr:cNvCxnSpPr/>
      </xdr:nvCxnSpPr>
      <xdr:spPr>
        <a:xfrm>
          <a:off x="601834" y="7866018"/>
          <a:ext cx="1205864" cy="0"/>
        </a:xfrm>
        <a:prstGeom prst="line">
          <a:avLst/>
        </a:prstGeom>
        <a:ln w="9525">
          <a:solidFill>
            <a:srgbClr val="0000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79131</xdr:colOff>
      <xdr:row>43</xdr:row>
      <xdr:rowOff>134063</xdr:rowOff>
    </xdr:from>
    <xdr:to>
      <xdr:col>7</xdr:col>
      <xdr:colOff>0</xdr:colOff>
      <xdr:row>43</xdr:row>
      <xdr:rowOff>134063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4C5C0A46-D0BB-46C5-AC84-BA96A18EEA2D}"/>
            </a:ext>
          </a:extLst>
        </xdr:cNvPr>
        <xdr:cNvCxnSpPr/>
      </xdr:nvCxnSpPr>
      <xdr:spPr>
        <a:xfrm>
          <a:off x="3060456" y="7864553"/>
          <a:ext cx="444744" cy="0"/>
        </a:xfrm>
        <a:prstGeom prst="line">
          <a:avLst/>
        </a:prstGeom>
        <a:ln w="9525">
          <a:solidFill>
            <a:srgbClr val="0000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322387</xdr:colOff>
      <xdr:row>39</xdr:row>
      <xdr:rowOff>14653</xdr:rowOff>
    </xdr:from>
    <xdr:to>
      <xdr:col>7</xdr:col>
      <xdr:colOff>87924</xdr:colOff>
      <xdr:row>40</xdr:row>
      <xdr:rowOff>73270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D98BB39-9A98-44E7-B846-3D8B8358BA74}"/>
            </a:ext>
          </a:extLst>
        </xdr:cNvPr>
        <xdr:cNvSpPr txBox="1"/>
      </xdr:nvSpPr>
      <xdr:spPr>
        <a:xfrm>
          <a:off x="3307522" y="7066963"/>
          <a:ext cx="289412" cy="2262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6</xdr:col>
      <xdr:colOff>35171</xdr:colOff>
      <xdr:row>42</xdr:row>
      <xdr:rowOff>101111</xdr:rowOff>
    </xdr:from>
    <xdr:to>
      <xdr:col>6</xdr:col>
      <xdr:colOff>313593</xdr:colOff>
      <xdr:row>43</xdr:row>
      <xdr:rowOff>159728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5CC045E-F94F-407D-8073-085F6FA0CD5E}"/>
            </a:ext>
          </a:extLst>
        </xdr:cNvPr>
        <xdr:cNvSpPr txBox="1"/>
      </xdr:nvSpPr>
      <xdr:spPr>
        <a:xfrm>
          <a:off x="3016496" y="7660151"/>
          <a:ext cx="280327" cy="235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l-G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α</a:t>
          </a:r>
          <a:endParaRPr lang="en-ID" sz="1100">
            <a:latin typeface="Symbol" panose="05050102010706020507" pitchFamily="18" charset="2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249117</xdr:colOff>
      <xdr:row>36</xdr:row>
      <xdr:rowOff>14653</xdr:rowOff>
    </xdr:from>
    <xdr:to>
      <xdr:col>6</xdr:col>
      <xdr:colOff>278423</xdr:colOff>
      <xdr:row>37</xdr:row>
      <xdr:rowOff>73271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26453C3-F6CD-4A68-AAEF-758FB4637CE8}"/>
            </a:ext>
          </a:extLst>
        </xdr:cNvPr>
        <xdr:cNvSpPr txBox="1"/>
      </xdr:nvSpPr>
      <xdr:spPr>
        <a:xfrm>
          <a:off x="1616907" y="6552613"/>
          <a:ext cx="1646651" cy="226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 b="1" u="sng">
              <a:latin typeface="Arial" panose="020B0604020202020204" pitchFamily="34" charset="0"/>
              <a:cs typeface="Arial" panose="020B0604020202020204" pitchFamily="34" charset="0"/>
            </a:rPr>
            <a:t>TAMPAK</a:t>
          </a:r>
          <a:r>
            <a:rPr lang="en-ID" sz="1000" b="1" u="sng" baseline="0">
              <a:latin typeface="Arial" panose="020B0604020202020204" pitchFamily="34" charset="0"/>
              <a:cs typeface="Arial" panose="020B0604020202020204" pitchFamily="34" charset="0"/>
            </a:rPr>
            <a:t> ATAS</a:t>
          </a:r>
          <a:endParaRPr lang="en-ID" sz="1000" b="1" u="sng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476252</xdr:colOff>
      <xdr:row>47</xdr:row>
      <xdr:rowOff>146536</xdr:rowOff>
    </xdr:from>
    <xdr:to>
      <xdr:col>8</xdr:col>
      <xdr:colOff>241789</xdr:colOff>
      <xdr:row>49</xdr:row>
      <xdr:rowOff>43961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C3E7E90-2807-4412-8E54-645A42175ACF}"/>
            </a:ext>
          </a:extLst>
        </xdr:cNvPr>
        <xdr:cNvSpPr txBox="1"/>
      </xdr:nvSpPr>
      <xdr:spPr>
        <a:xfrm>
          <a:off x="3977642" y="8564731"/>
          <a:ext cx="297032" cy="2441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 b="1">
              <a:latin typeface="Arial" panose="020B0604020202020204" pitchFamily="34" charset="0"/>
              <a:cs typeface="Arial" panose="020B0604020202020204" pitchFamily="34" charset="0"/>
            </a:rPr>
            <a:t>F</a:t>
          </a:r>
        </a:p>
      </xdr:txBody>
    </xdr:sp>
    <xdr:clientData/>
  </xdr:twoCellAnchor>
  <xdr:twoCellAnchor>
    <xdr:from>
      <xdr:col>9</xdr:col>
      <xdr:colOff>64479</xdr:colOff>
      <xdr:row>52</xdr:row>
      <xdr:rowOff>5861</xdr:rowOff>
    </xdr:from>
    <xdr:to>
      <xdr:col>9</xdr:col>
      <xdr:colOff>342901</xdr:colOff>
      <xdr:row>53</xdr:row>
      <xdr:rowOff>64478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14BDADA-4060-4F4C-AE7C-3F4F64E44596}"/>
            </a:ext>
          </a:extLst>
        </xdr:cNvPr>
        <xdr:cNvSpPr txBox="1"/>
      </xdr:nvSpPr>
      <xdr:spPr>
        <a:xfrm>
          <a:off x="4480269" y="9285116"/>
          <a:ext cx="282232" cy="2243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 b="1">
              <a:latin typeface="Arial" panose="020B0604020202020204" pitchFamily="34" charset="0"/>
              <a:cs typeface="Arial" panose="020B0604020202020204" pitchFamily="34" charset="0"/>
            </a:rPr>
            <a:t>G</a:t>
          </a:r>
        </a:p>
      </xdr:txBody>
    </xdr:sp>
    <xdr:clientData/>
  </xdr:twoCellAnchor>
  <xdr:twoCellAnchor>
    <xdr:from>
      <xdr:col>8</xdr:col>
      <xdr:colOff>99648</xdr:colOff>
      <xdr:row>49</xdr:row>
      <xdr:rowOff>150933</xdr:rowOff>
    </xdr:from>
    <xdr:to>
      <xdr:col>8</xdr:col>
      <xdr:colOff>378070</xdr:colOff>
      <xdr:row>51</xdr:row>
      <xdr:rowOff>48357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B6A6695-169D-4E74-BF31-B0B2C6D96A63}"/>
            </a:ext>
          </a:extLst>
        </xdr:cNvPr>
        <xdr:cNvSpPr txBox="1"/>
      </xdr:nvSpPr>
      <xdr:spPr>
        <a:xfrm>
          <a:off x="4124913" y="8913933"/>
          <a:ext cx="282232" cy="242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 b="1">
              <a:latin typeface="Arial" panose="020B0604020202020204" pitchFamily="34" charset="0"/>
              <a:cs typeface="Arial" panose="020B0604020202020204" pitchFamily="34" charset="0"/>
            </a:rPr>
            <a:t>H</a:t>
          </a:r>
        </a:p>
      </xdr:txBody>
    </xdr:sp>
    <xdr:clientData/>
  </xdr:twoCellAnchor>
  <xdr:twoCellAnchor>
    <xdr:from>
      <xdr:col>12</xdr:col>
      <xdr:colOff>222652</xdr:colOff>
      <xdr:row>49</xdr:row>
      <xdr:rowOff>13697</xdr:rowOff>
    </xdr:from>
    <xdr:to>
      <xdr:col>12</xdr:col>
      <xdr:colOff>222652</xdr:colOff>
      <xdr:row>51</xdr:row>
      <xdr:rowOff>152908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41F4D5B0-E710-4B4C-8E28-FA9E1FC3BA2F}"/>
            </a:ext>
          </a:extLst>
        </xdr:cNvPr>
        <xdr:cNvCxnSpPr/>
      </xdr:nvCxnSpPr>
      <xdr:spPr>
        <a:xfrm>
          <a:off x="5811922" y="8780507"/>
          <a:ext cx="0" cy="478301"/>
        </a:xfrm>
        <a:prstGeom prst="straightConnector1">
          <a:avLst/>
        </a:prstGeom>
        <a:ln w="9525">
          <a:solidFill>
            <a:srgbClr val="000001"/>
          </a:solidFill>
          <a:headEnd type="stealth"/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344366</xdr:colOff>
      <xdr:row>49</xdr:row>
      <xdr:rowOff>9481</xdr:rowOff>
    </xdr:from>
    <xdr:to>
      <xdr:col>12</xdr:col>
      <xdr:colOff>300403</xdr:colOff>
      <xdr:row>49</xdr:row>
      <xdr:rowOff>9481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E85FC9C-C250-450B-A089-7803AAD039B4}"/>
            </a:ext>
          </a:extLst>
        </xdr:cNvPr>
        <xdr:cNvCxnSpPr/>
      </xdr:nvCxnSpPr>
      <xdr:spPr>
        <a:xfrm flipH="1">
          <a:off x="5545016" y="8774386"/>
          <a:ext cx="344657" cy="0"/>
        </a:xfrm>
        <a:prstGeom prst="line">
          <a:avLst/>
        </a:prstGeom>
        <a:ln w="9525">
          <a:solidFill>
            <a:srgbClr val="0000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124557</xdr:colOff>
      <xdr:row>51</xdr:row>
      <xdr:rowOff>154554</xdr:rowOff>
    </xdr:from>
    <xdr:to>
      <xdr:col>12</xdr:col>
      <xdr:colOff>291611</xdr:colOff>
      <xdr:row>51</xdr:row>
      <xdr:rowOff>154554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1281A5E8-133C-461B-AAEB-09EC2161FF7C}"/>
            </a:ext>
          </a:extLst>
        </xdr:cNvPr>
        <xdr:cNvCxnSpPr/>
      </xdr:nvCxnSpPr>
      <xdr:spPr>
        <a:xfrm flipH="1">
          <a:off x="4936587" y="9260454"/>
          <a:ext cx="942389" cy="0"/>
        </a:xfrm>
        <a:prstGeom prst="line">
          <a:avLst/>
        </a:prstGeom>
        <a:ln w="9525">
          <a:solidFill>
            <a:srgbClr val="0000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232997</xdr:colOff>
      <xdr:row>44</xdr:row>
      <xdr:rowOff>117676</xdr:rowOff>
    </xdr:from>
    <xdr:to>
      <xdr:col>6</xdr:col>
      <xdr:colOff>262303</xdr:colOff>
      <xdr:row>46</xdr:row>
      <xdr:rowOff>10641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6E8C4EE-B5C3-4A39-AEC6-55A89A0837B1}"/>
            </a:ext>
          </a:extLst>
        </xdr:cNvPr>
        <xdr:cNvSpPr txBox="1"/>
      </xdr:nvSpPr>
      <xdr:spPr>
        <a:xfrm>
          <a:off x="1606502" y="8023426"/>
          <a:ext cx="1635221" cy="237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 b="1" u="sng">
              <a:latin typeface="Arial" panose="020B0604020202020204" pitchFamily="34" charset="0"/>
              <a:cs typeface="Arial" panose="020B0604020202020204" pitchFamily="34" charset="0"/>
            </a:rPr>
            <a:t>POTONGAN</a:t>
          </a:r>
          <a:r>
            <a:rPr lang="en-ID" sz="1000" b="1" u="sng" baseline="0">
              <a:latin typeface="Arial" panose="020B0604020202020204" pitchFamily="34" charset="0"/>
              <a:cs typeface="Arial" panose="020B0604020202020204" pitchFamily="34" charset="0"/>
            </a:rPr>
            <a:t> 1-1</a:t>
          </a:r>
          <a:endParaRPr lang="en-ID" sz="1000" b="1" u="sng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282820</xdr:colOff>
      <xdr:row>56</xdr:row>
      <xdr:rowOff>84990</xdr:rowOff>
    </xdr:from>
    <xdr:to>
      <xdr:col>11</xdr:col>
      <xdr:colOff>231529</xdr:colOff>
      <xdr:row>57</xdr:row>
      <xdr:rowOff>143609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97564B2-6A38-4D9C-989F-40E5C24C760F}"/>
            </a:ext>
          </a:extLst>
        </xdr:cNvPr>
        <xdr:cNvSpPr txBox="1"/>
      </xdr:nvSpPr>
      <xdr:spPr>
        <a:xfrm>
          <a:off x="3791830" y="10050045"/>
          <a:ext cx="1640349" cy="2262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 b="1" u="sng">
              <a:latin typeface="Arial" panose="020B0604020202020204" pitchFamily="34" charset="0"/>
              <a:cs typeface="Arial" panose="020B0604020202020204" pitchFamily="34" charset="0"/>
            </a:rPr>
            <a:t>DETAIL A</a:t>
          </a:r>
        </a:p>
      </xdr:txBody>
    </xdr:sp>
    <xdr:clientData/>
  </xdr:twoCellAnchor>
  <xdr:twoCellAnchor>
    <xdr:from>
      <xdr:col>7</xdr:col>
      <xdr:colOff>410875</xdr:colOff>
      <xdr:row>18</xdr:row>
      <xdr:rowOff>39017</xdr:rowOff>
    </xdr:from>
    <xdr:to>
      <xdr:col>7</xdr:col>
      <xdr:colOff>410875</xdr:colOff>
      <xdr:row>19</xdr:row>
      <xdr:rowOff>173938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564A0218-B053-4DE6-B23A-A6044FFC99C2}"/>
            </a:ext>
          </a:extLst>
        </xdr:cNvPr>
        <xdr:cNvCxnSpPr/>
      </xdr:nvCxnSpPr>
      <xdr:spPr>
        <a:xfrm>
          <a:off x="3914170" y="3134642"/>
          <a:ext cx="0" cy="302561"/>
        </a:xfrm>
        <a:prstGeom prst="straightConnector1">
          <a:avLst/>
        </a:prstGeom>
        <a:ln w="9525">
          <a:solidFill>
            <a:srgbClr val="000001"/>
          </a:solidFill>
          <a:prstDash val="lgDashDot"/>
          <a:headEnd type="stealth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74600</xdr:colOff>
      <xdr:row>18</xdr:row>
      <xdr:rowOff>25765</xdr:rowOff>
    </xdr:from>
    <xdr:to>
      <xdr:col>2</xdr:col>
      <xdr:colOff>74600</xdr:colOff>
      <xdr:row>20</xdr:row>
      <xdr:rowOff>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B0FCBF17-7541-476F-B099-F581237B3297}"/>
            </a:ext>
          </a:extLst>
        </xdr:cNvPr>
        <xdr:cNvCxnSpPr/>
      </xdr:nvCxnSpPr>
      <xdr:spPr>
        <a:xfrm>
          <a:off x="989000" y="3117580"/>
          <a:ext cx="0" cy="339998"/>
        </a:xfrm>
        <a:prstGeom prst="straightConnector1">
          <a:avLst/>
        </a:prstGeom>
        <a:ln w="9525">
          <a:solidFill>
            <a:srgbClr val="000001"/>
          </a:solidFill>
          <a:prstDash val="lgDashDot"/>
          <a:headEnd type="stealth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74543</xdr:colOff>
      <xdr:row>19</xdr:row>
      <xdr:rowOff>177598</xdr:rowOff>
    </xdr:from>
    <xdr:to>
      <xdr:col>7</xdr:col>
      <xdr:colOff>422413</xdr:colOff>
      <xdr:row>19</xdr:row>
      <xdr:rowOff>177598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B43E380-DA64-4351-B32C-B4C3C1F0A8CE}"/>
            </a:ext>
          </a:extLst>
        </xdr:cNvPr>
        <xdr:cNvCxnSpPr/>
      </xdr:nvCxnSpPr>
      <xdr:spPr>
        <a:xfrm>
          <a:off x="988943" y="3440863"/>
          <a:ext cx="2938670" cy="0"/>
        </a:xfrm>
        <a:prstGeom prst="line">
          <a:avLst/>
        </a:prstGeom>
        <a:ln w="9525">
          <a:solidFill>
            <a:srgbClr val="000001"/>
          </a:solidFill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265045</xdr:colOff>
      <xdr:row>17</xdr:row>
      <xdr:rowOff>4140</xdr:rowOff>
    </xdr:from>
    <xdr:to>
      <xdr:col>8</xdr:col>
      <xdr:colOff>30582</xdr:colOff>
      <xdr:row>18</xdr:row>
      <xdr:rowOff>62757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C383803-9BC0-42D2-8F6E-877A263947EF}"/>
            </a:ext>
          </a:extLst>
        </xdr:cNvPr>
        <xdr:cNvSpPr txBox="1"/>
      </xdr:nvSpPr>
      <xdr:spPr>
        <a:xfrm>
          <a:off x="3770245" y="2930220"/>
          <a:ext cx="287507" cy="2243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xdr:txBody>
    </xdr:sp>
    <xdr:clientData/>
  </xdr:twoCellAnchor>
  <xdr:twoCellAnchor>
    <xdr:from>
      <xdr:col>1</xdr:col>
      <xdr:colOff>384313</xdr:colOff>
      <xdr:row>16</xdr:row>
      <xdr:rowOff>156541</xdr:rowOff>
    </xdr:from>
    <xdr:to>
      <xdr:col>2</xdr:col>
      <xdr:colOff>216111</xdr:colOff>
      <xdr:row>18</xdr:row>
      <xdr:rowOff>49506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94C396D-D2E7-47DD-BC24-D1CBC26F731A}"/>
            </a:ext>
          </a:extLst>
        </xdr:cNvPr>
        <xdr:cNvSpPr txBox="1"/>
      </xdr:nvSpPr>
      <xdr:spPr>
        <a:xfrm>
          <a:off x="841513" y="2911171"/>
          <a:ext cx="285188" cy="2358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xdr:txBody>
    </xdr:sp>
    <xdr:clientData/>
  </xdr:twoCellAnchor>
  <xdr:twoCellAnchor>
    <xdr:from>
      <xdr:col>7</xdr:col>
      <xdr:colOff>248478</xdr:colOff>
      <xdr:row>47</xdr:row>
      <xdr:rowOff>11557</xdr:rowOff>
    </xdr:from>
    <xdr:to>
      <xdr:col>8</xdr:col>
      <xdr:colOff>323021</xdr:colOff>
      <xdr:row>47</xdr:row>
      <xdr:rowOff>11557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336401F3-56A0-4D0E-8ACA-AA353D48BF0A}"/>
            </a:ext>
          </a:extLst>
        </xdr:cNvPr>
        <xdr:cNvCxnSpPr/>
      </xdr:nvCxnSpPr>
      <xdr:spPr>
        <a:xfrm>
          <a:off x="3749868" y="8435467"/>
          <a:ext cx="606038" cy="0"/>
        </a:xfrm>
        <a:prstGeom prst="straightConnector1">
          <a:avLst/>
        </a:prstGeom>
        <a:ln w="9525">
          <a:solidFill>
            <a:srgbClr val="000001"/>
          </a:solidFill>
          <a:headEnd type="stealth"/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316944</xdr:colOff>
      <xdr:row>46</xdr:row>
      <xdr:rowOff>115956</xdr:rowOff>
    </xdr:from>
    <xdr:to>
      <xdr:col>8</xdr:col>
      <xdr:colOff>316944</xdr:colOff>
      <xdr:row>48</xdr:row>
      <xdr:rowOff>99392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5D8ABF9F-6442-47ED-89EA-993371DDA419}"/>
            </a:ext>
          </a:extLst>
        </xdr:cNvPr>
        <xdr:cNvCxnSpPr/>
      </xdr:nvCxnSpPr>
      <xdr:spPr>
        <a:xfrm flipV="1">
          <a:off x="4349829" y="8364606"/>
          <a:ext cx="0" cy="322526"/>
        </a:xfrm>
        <a:prstGeom prst="line">
          <a:avLst/>
        </a:prstGeom>
        <a:ln w="9525">
          <a:solidFill>
            <a:srgbClr val="0000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99392</xdr:colOff>
      <xdr:row>47</xdr:row>
      <xdr:rowOff>7786</xdr:rowOff>
    </xdr:from>
    <xdr:to>
      <xdr:col>7</xdr:col>
      <xdr:colOff>248478</xdr:colOff>
      <xdr:row>47</xdr:row>
      <xdr:rowOff>7786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350B3E0-3FC8-449E-861C-726CFDA947BC}"/>
            </a:ext>
          </a:extLst>
        </xdr:cNvPr>
        <xdr:cNvCxnSpPr/>
      </xdr:nvCxnSpPr>
      <xdr:spPr>
        <a:xfrm>
          <a:off x="3076907" y="8429791"/>
          <a:ext cx="672961" cy="0"/>
        </a:xfrm>
        <a:prstGeom prst="line">
          <a:avLst/>
        </a:prstGeom>
        <a:ln w="9525">
          <a:solidFill>
            <a:srgbClr val="0000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245714</xdr:colOff>
      <xdr:row>46</xdr:row>
      <xdr:rowOff>132522</xdr:rowOff>
    </xdr:from>
    <xdr:to>
      <xdr:col>7</xdr:col>
      <xdr:colOff>245714</xdr:colOff>
      <xdr:row>48</xdr:row>
      <xdr:rowOff>99392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26D332A-F910-4959-84FA-6B2B1EBF5238}"/>
            </a:ext>
          </a:extLst>
        </xdr:cNvPr>
        <xdr:cNvCxnSpPr/>
      </xdr:nvCxnSpPr>
      <xdr:spPr>
        <a:xfrm flipV="1">
          <a:off x="3754724" y="8384982"/>
          <a:ext cx="0" cy="302150"/>
        </a:xfrm>
        <a:prstGeom prst="line">
          <a:avLst/>
        </a:prstGeom>
        <a:ln w="9525">
          <a:solidFill>
            <a:srgbClr val="0000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318051</xdr:colOff>
      <xdr:row>54</xdr:row>
      <xdr:rowOff>105979</xdr:rowOff>
    </xdr:from>
    <xdr:to>
      <xdr:col>10</xdr:col>
      <xdr:colOff>82826</xdr:colOff>
      <xdr:row>54</xdr:row>
      <xdr:rowOff>105979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B86FE12E-D337-4AED-8BAB-BF7466A87599}"/>
            </a:ext>
          </a:extLst>
        </xdr:cNvPr>
        <xdr:cNvCxnSpPr/>
      </xdr:nvCxnSpPr>
      <xdr:spPr>
        <a:xfrm>
          <a:off x="4350936" y="9724324"/>
          <a:ext cx="543920" cy="0"/>
        </a:xfrm>
        <a:prstGeom prst="straightConnector1">
          <a:avLst/>
        </a:prstGeom>
        <a:ln w="9525">
          <a:solidFill>
            <a:srgbClr val="000001"/>
          </a:solidFill>
          <a:headEnd type="stealth"/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71779</xdr:colOff>
      <xdr:row>52</xdr:row>
      <xdr:rowOff>3313</xdr:rowOff>
    </xdr:from>
    <xdr:to>
      <xdr:col>10</xdr:col>
      <xdr:colOff>71779</xdr:colOff>
      <xdr:row>55</xdr:row>
      <xdr:rowOff>8283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28309BD5-C2C6-4733-8923-040B591289EA}"/>
            </a:ext>
          </a:extLst>
        </xdr:cNvPr>
        <xdr:cNvCxnSpPr/>
      </xdr:nvCxnSpPr>
      <xdr:spPr>
        <a:xfrm flipV="1">
          <a:off x="4879999" y="9280663"/>
          <a:ext cx="0" cy="521225"/>
        </a:xfrm>
        <a:prstGeom prst="line">
          <a:avLst/>
        </a:prstGeom>
        <a:ln w="9525">
          <a:solidFill>
            <a:srgbClr val="0000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323570</xdr:colOff>
      <xdr:row>51</xdr:row>
      <xdr:rowOff>163996</xdr:rowOff>
    </xdr:from>
    <xdr:to>
      <xdr:col>8</xdr:col>
      <xdr:colOff>323570</xdr:colOff>
      <xdr:row>54</xdr:row>
      <xdr:rowOff>157370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D1CE448D-B1C4-451F-AFB6-B7BBD35D6E19}"/>
            </a:ext>
          </a:extLst>
        </xdr:cNvPr>
        <xdr:cNvCxnSpPr/>
      </xdr:nvCxnSpPr>
      <xdr:spPr>
        <a:xfrm flipV="1">
          <a:off x="4356455" y="9273706"/>
          <a:ext cx="0" cy="505819"/>
        </a:xfrm>
        <a:prstGeom prst="line">
          <a:avLst/>
        </a:prstGeom>
        <a:ln w="9525">
          <a:solidFill>
            <a:srgbClr val="0000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30683</xdr:colOff>
      <xdr:row>0</xdr:row>
      <xdr:rowOff>146536</xdr:rowOff>
    </xdr:from>
    <xdr:to>
      <xdr:col>13</xdr:col>
      <xdr:colOff>554076</xdr:colOff>
      <xdr:row>7</xdr:row>
      <xdr:rowOff>58614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823251F1-31B6-42D7-B421-60F8BB48C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38903" y="144631"/>
          <a:ext cx="1931188" cy="1110323"/>
        </a:xfrm>
        <a:prstGeom prst="rect">
          <a:avLst/>
        </a:prstGeom>
      </xdr:spPr>
    </xdr:pic>
    <xdr:clientData/>
  </xdr:twoCellAnchor>
  <xdr:twoCellAnchor editAs="oneCell">
    <xdr:from>
      <xdr:col>20</xdr:col>
      <xdr:colOff>827853</xdr:colOff>
      <xdr:row>0</xdr:row>
      <xdr:rowOff>145070</xdr:rowOff>
    </xdr:from>
    <xdr:to>
      <xdr:col>23</xdr:col>
      <xdr:colOff>591085</xdr:colOff>
      <xdr:row>7</xdr:row>
      <xdr:rowOff>57148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D42BC746-4237-4A47-91C9-BE77C410B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74923" y="143165"/>
          <a:ext cx="1952077" cy="1117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1B98-2EF7-432B-AB28-56E96E83A957}">
  <dimension ref="A1:X56"/>
  <sheetViews>
    <sheetView tabSelected="1" view="pageBreakPreview" zoomScaleNormal="115" zoomScaleSheetLayoutView="100" workbookViewId="0">
      <selection activeCell="W24" sqref="W24"/>
    </sheetView>
  </sheetViews>
  <sheetFormatPr defaultColWidth="9.109375" defaultRowHeight="13.2" x14ac:dyDescent="0.25"/>
  <cols>
    <col min="1" max="3" width="6.6640625" style="4" customWidth="1"/>
    <col min="4" max="4" width="7.6640625" style="4" customWidth="1"/>
    <col min="5" max="5" width="9.33203125" style="4" customWidth="1"/>
    <col min="6" max="6" width="6.5546875" style="4" customWidth="1"/>
    <col min="7" max="8" width="7.6640625" style="4" customWidth="1"/>
    <col min="9" max="12" width="5.6640625" style="4" customWidth="1"/>
    <col min="13" max="14" width="9.109375" style="4"/>
    <col min="15" max="20" width="9.6640625" style="4" customWidth="1"/>
    <col min="21" max="21" width="18.6640625" style="4" customWidth="1"/>
    <col min="22" max="22" width="2.6640625" style="4" customWidth="1"/>
    <col min="23" max="24" width="10.6640625" style="4" customWidth="1"/>
    <col min="25" max="29" width="9.6640625" style="4" customWidth="1"/>
    <col min="30" max="30" width="18.6640625" style="4" customWidth="1"/>
    <col min="31" max="31" width="2.6640625" style="4" customWidth="1"/>
    <col min="32" max="33" width="10.6640625" style="4" customWidth="1"/>
    <col min="34" max="16384" width="9.109375" style="4"/>
  </cols>
  <sheetData>
    <row r="1" spans="1:24" ht="13.8" thickTop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4" t="str">
        <f>A1</f>
        <v>PERHITUNGAN VOLUME GEOMEMBRANE</v>
      </c>
      <c r="P1" s="15"/>
      <c r="Q1" s="15"/>
      <c r="R1" s="15"/>
      <c r="S1" s="15"/>
      <c r="T1" s="15"/>
      <c r="U1" s="15"/>
      <c r="V1" s="15"/>
      <c r="W1" s="15"/>
      <c r="X1" s="15"/>
    </row>
    <row r="2" spans="1:24" x14ac:dyDescent="0.25">
      <c r="A2" s="4" t="s">
        <v>1</v>
      </c>
      <c r="C2" s="16" t="s">
        <v>9</v>
      </c>
      <c r="D2" s="27" t="s">
        <v>35</v>
      </c>
      <c r="O2" s="4" t="s">
        <v>1</v>
      </c>
      <c r="P2" s="16" t="s">
        <v>9</v>
      </c>
      <c r="Q2" s="35" t="str">
        <f>D2</f>
        <v>Kolam Penampungan Air</v>
      </c>
    </row>
    <row r="3" spans="1:24" x14ac:dyDescent="0.25">
      <c r="A3" s="4" t="s">
        <v>2</v>
      </c>
      <c r="C3" s="16" t="s">
        <v>9</v>
      </c>
      <c r="D3" s="27" t="s">
        <v>36</v>
      </c>
      <c r="O3" s="4" t="s">
        <v>2</v>
      </c>
      <c r="P3" s="16" t="s">
        <v>9</v>
      </c>
      <c r="Q3" s="35" t="str">
        <f t="shared" ref="Q3:Q6" si="0">D3</f>
        <v>Tanjung Enim - Sumatera Selatan</v>
      </c>
    </row>
    <row r="4" spans="1:24" x14ac:dyDescent="0.25">
      <c r="A4" s="4" t="s">
        <v>3</v>
      </c>
      <c r="C4" s="16" t="s">
        <v>9</v>
      </c>
      <c r="D4" s="27" t="s">
        <v>37</v>
      </c>
      <c r="O4" s="4" t="s">
        <v>3</v>
      </c>
      <c r="P4" s="16" t="s">
        <v>9</v>
      </c>
      <c r="Q4" s="35" t="str">
        <f t="shared" si="0"/>
        <v>Bapak Ferdy manda</v>
      </c>
    </row>
    <row r="5" spans="1:24" x14ac:dyDescent="0.25">
      <c r="A5" s="4" t="s">
        <v>4</v>
      </c>
      <c r="C5" s="16" t="s">
        <v>9</v>
      </c>
      <c r="D5" s="27" t="s">
        <v>34</v>
      </c>
      <c r="O5" s="4" t="s">
        <v>4</v>
      </c>
      <c r="P5" s="16" t="s">
        <v>9</v>
      </c>
      <c r="Q5" s="35" t="str">
        <f t="shared" si="0"/>
        <v>Sandi</v>
      </c>
    </row>
    <row r="6" spans="1:24" x14ac:dyDescent="0.25">
      <c r="A6" s="4" t="s">
        <v>5</v>
      </c>
      <c r="C6" s="16" t="s">
        <v>9</v>
      </c>
      <c r="D6" s="27"/>
      <c r="O6" s="4" t="s">
        <v>5</v>
      </c>
      <c r="P6" s="16" t="s">
        <v>9</v>
      </c>
      <c r="Q6" s="35">
        <f t="shared" si="0"/>
        <v>0</v>
      </c>
    </row>
    <row r="7" spans="1:24" x14ac:dyDescent="0.25">
      <c r="A7" s="4" t="s">
        <v>6</v>
      </c>
      <c r="C7" s="16" t="s">
        <v>9</v>
      </c>
      <c r="D7" s="36">
        <v>46213</v>
      </c>
      <c r="E7" s="36"/>
      <c r="O7" s="4" t="s">
        <v>6</v>
      </c>
      <c r="P7" s="16" t="s">
        <v>9</v>
      </c>
      <c r="Q7" s="37">
        <f>D7</f>
        <v>46213</v>
      </c>
      <c r="R7" s="37"/>
      <c r="S7" s="18"/>
    </row>
    <row r="8" spans="1:24" ht="13.8" thickBot="1" x14ac:dyDescent="0.3">
      <c r="A8" s="19" t="s">
        <v>7</v>
      </c>
      <c r="B8" s="19"/>
      <c r="C8" s="20" t="s">
        <v>9</v>
      </c>
      <c r="D8" s="28">
        <v>0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 t="s">
        <v>7</v>
      </c>
      <c r="P8" s="20" t="s">
        <v>9</v>
      </c>
      <c r="Q8" s="20">
        <f>D8</f>
        <v>0</v>
      </c>
      <c r="R8" s="19"/>
      <c r="S8" s="19"/>
      <c r="T8" s="19"/>
      <c r="U8" s="19"/>
      <c r="V8" s="19"/>
      <c r="W8" s="19"/>
      <c r="X8" s="19"/>
    </row>
    <row r="9" spans="1:24" ht="14.4" thickTop="1" thickBot="1" x14ac:dyDescent="0.3">
      <c r="U9" s="21"/>
      <c r="V9" s="21"/>
      <c r="W9" s="21"/>
      <c r="X9" s="21"/>
    </row>
    <row r="10" spans="1:24" ht="13.8" thickTop="1" x14ac:dyDescent="0.25">
      <c r="A10" s="22" t="s">
        <v>8</v>
      </c>
      <c r="O10" s="1" t="s">
        <v>11</v>
      </c>
      <c r="P10" s="2"/>
      <c r="Q10" s="2"/>
      <c r="R10" s="2"/>
      <c r="S10" s="3"/>
      <c r="U10" s="38" t="s">
        <v>20</v>
      </c>
      <c r="V10" s="39"/>
      <c r="W10" s="38" t="str">
        <f>"Luas ("&amp;S11&amp;"2)"</f>
        <v>Luas (m2)</v>
      </c>
      <c r="X10" s="39"/>
    </row>
    <row r="11" spans="1:24" x14ac:dyDescent="0.25">
      <c r="O11" s="5" t="s">
        <v>12</v>
      </c>
      <c r="P11" s="6"/>
      <c r="Q11" s="6"/>
      <c r="R11" s="6"/>
      <c r="S11" s="32" t="s">
        <v>10</v>
      </c>
      <c r="U11" s="40" t="s">
        <v>21</v>
      </c>
      <c r="V11" s="41"/>
      <c r="W11" s="42">
        <f>IFERROR(E33*I22,0)</f>
        <v>72</v>
      </c>
      <c r="X11" s="43"/>
    </row>
    <row r="12" spans="1:24" x14ac:dyDescent="0.25">
      <c r="U12" s="40" t="s">
        <v>30</v>
      </c>
      <c r="V12" s="41"/>
      <c r="W12" s="42">
        <f>IFERROR(0.5*(E33+E35)*(A43/SIN(RADIANS(J41))),0)</f>
        <v>20.244634924989931</v>
      </c>
      <c r="X12" s="43"/>
    </row>
    <row r="13" spans="1:24" x14ac:dyDescent="0.25">
      <c r="O13" s="1" t="s">
        <v>13</v>
      </c>
      <c r="P13" s="2"/>
      <c r="Q13" s="2"/>
      <c r="R13" s="2"/>
      <c r="S13" s="3"/>
      <c r="U13" s="40" t="s">
        <v>22</v>
      </c>
      <c r="V13" s="41"/>
      <c r="W13" s="42">
        <f>IFERROR(0.5*(I22+J22)*(A43/SIN(RADIANS(J41))),0)</f>
        <v>22.48928740025865</v>
      </c>
      <c r="X13" s="43"/>
    </row>
    <row r="14" spans="1:24" x14ac:dyDescent="0.25">
      <c r="O14" s="7" t="s">
        <v>31</v>
      </c>
      <c r="P14" s="9"/>
      <c r="Q14" s="10" t="s">
        <v>15</v>
      </c>
      <c r="R14" s="33">
        <v>1</v>
      </c>
      <c r="S14" s="8"/>
      <c r="U14" s="40" t="s">
        <v>23</v>
      </c>
      <c r="V14" s="41"/>
      <c r="W14" s="42">
        <f>IFERROR(W12,0)</f>
        <v>20.244634924989931</v>
      </c>
      <c r="X14" s="43"/>
    </row>
    <row r="15" spans="1:24" x14ac:dyDescent="0.25">
      <c r="O15" s="7"/>
      <c r="P15" s="10" t="str">
        <f>IF(R14=1,"Kemiringan (α)",IF(R14=2,"Vertikal (V)",""))</f>
        <v>Kemiringan (α)</v>
      </c>
      <c r="Q15" s="10" t="str">
        <f>IF(OR(R14=1,R14=2),"=","")</f>
        <v>=</v>
      </c>
      <c r="R15" s="33">
        <v>63</v>
      </c>
      <c r="S15" s="8" t="str">
        <f>IF($R$14=1,"°","")</f>
        <v>°</v>
      </c>
      <c r="U15" s="40" t="s">
        <v>24</v>
      </c>
      <c r="V15" s="41"/>
      <c r="W15" s="42">
        <f>IFERROR(W13,0)</f>
        <v>22.48928740025865</v>
      </c>
      <c r="X15" s="43"/>
    </row>
    <row r="16" spans="1:24" x14ac:dyDescent="0.25">
      <c r="O16" s="7"/>
      <c r="P16" s="10" t="str">
        <f>IF(R14=1,"",IF(R14=2,"Horizontal (H)",""))</f>
        <v/>
      </c>
      <c r="Q16" s="10" t="str">
        <f>IF(R14=2,"=","")</f>
        <v/>
      </c>
      <c r="R16" s="33"/>
      <c r="S16" s="8"/>
      <c r="U16" s="40" t="s">
        <v>25</v>
      </c>
      <c r="V16" s="41"/>
      <c r="W16" s="42">
        <f>IFERROR(2*E35*G47+2*K22*G47,0)</f>
        <v>100.30481438382172</v>
      </c>
      <c r="X16" s="43"/>
    </row>
    <row r="17" spans="9:24" x14ac:dyDescent="0.25">
      <c r="O17" s="5" t="s">
        <v>14</v>
      </c>
      <c r="P17" s="6"/>
      <c r="Q17" s="11" t="s">
        <v>15</v>
      </c>
      <c r="R17" s="34">
        <v>10</v>
      </c>
      <c r="S17" s="12" t="s">
        <v>16</v>
      </c>
      <c r="U17" s="40" t="s">
        <v>26</v>
      </c>
      <c r="V17" s="41"/>
      <c r="W17" s="42">
        <f>IFERROR(2*(E35+2*G47)*J56+2*L22*J56,0)</f>
        <v>30.076203595955434</v>
      </c>
      <c r="X17" s="43"/>
    </row>
    <row r="18" spans="9:24" x14ac:dyDescent="0.25">
      <c r="U18" s="40" t="s">
        <v>27</v>
      </c>
      <c r="V18" s="41"/>
      <c r="W18" s="42">
        <f>IFERROR((2*K22+2*(E35+2*G47))*M51,0)</f>
        <v>29.07620359595543</v>
      </c>
      <c r="X18" s="43"/>
    </row>
    <row r="19" spans="9:24" x14ac:dyDescent="0.25">
      <c r="O19" s="1" t="s">
        <v>17</v>
      </c>
      <c r="P19" s="2"/>
      <c r="Q19" s="2"/>
      <c r="R19" s="2"/>
      <c r="S19" s="3"/>
      <c r="U19" s="45" t="s">
        <v>28</v>
      </c>
      <c r="V19" s="46"/>
      <c r="W19" s="48">
        <f>SUM(W11:X18)</f>
        <v>316.92506622622972</v>
      </c>
      <c r="X19" s="49"/>
    </row>
    <row r="20" spans="9:24" ht="15" customHeight="1" x14ac:dyDescent="0.25">
      <c r="I20" s="44" t="str">
        <f>S11</f>
        <v>m</v>
      </c>
      <c r="J20" s="44" t="str">
        <f>S11</f>
        <v>m</v>
      </c>
      <c r="K20" s="44" t="str">
        <f>S11</f>
        <v>m</v>
      </c>
      <c r="L20" s="44" t="str">
        <f>$S$11</f>
        <v>m</v>
      </c>
      <c r="O20" s="7" t="s">
        <v>18</v>
      </c>
      <c r="P20" s="9"/>
      <c r="Q20" s="9"/>
      <c r="R20" s="9"/>
      <c r="S20" s="8">
        <v>1</v>
      </c>
      <c r="U20" s="45" t="s">
        <v>29</v>
      </c>
      <c r="V20" s="46"/>
      <c r="W20" s="48">
        <f>W19*(1+R17/100)</f>
        <v>348.61757284885272</v>
      </c>
      <c r="X20" s="49"/>
    </row>
    <row r="21" spans="9:24" x14ac:dyDescent="0.25">
      <c r="I21" s="44"/>
      <c r="J21" s="44"/>
      <c r="K21" s="44"/>
      <c r="L21" s="44"/>
      <c r="O21" s="13" t="s">
        <v>19</v>
      </c>
      <c r="P21" s="6"/>
      <c r="Q21" s="6"/>
      <c r="R21" s="6"/>
      <c r="S21" s="12">
        <v>2</v>
      </c>
      <c r="U21" s="50" t="s">
        <v>38</v>
      </c>
      <c r="V21" s="50"/>
      <c r="W21" s="50"/>
      <c r="X21" s="50">
        <v>2</v>
      </c>
    </row>
    <row r="22" spans="9:24" ht="39.9" customHeight="1" x14ac:dyDescent="0.25">
      <c r="I22" s="29">
        <v>9</v>
      </c>
      <c r="J22" s="23">
        <f>IFERROR(I22+2*(A43/TAN(RADIANS(J41))),0)</f>
        <v>11.038101797977715</v>
      </c>
      <c r="K22" s="24">
        <f>J22+2*G47</f>
        <v>15.038101797977715</v>
      </c>
      <c r="L22" s="24">
        <f>K22+2*J56</f>
        <v>16.038101797977717</v>
      </c>
      <c r="U22" s="51" t="s">
        <v>39</v>
      </c>
      <c r="V22" s="50"/>
      <c r="W22" s="50"/>
      <c r="X22" s="52">
        <f>W20*X21</f>
        <v>697.23514569770543</v>
      </c>
    </row>
    <row r="23" spans="9:24" x14ac:dyDescent="0.25">
      <c r="O23" s="17"/>
    </row>
    <row r="24" spans="9:24" x14ac:dyDescent="0.25">
      <c r="O24" s="17"/>
    </row>
    <row r="25" spans="9:24" x14ac:dyDescent="0.25">
      <c r="O25" s="17"/>
    </row>
    <row r="28" spans="9:24" x14ac:dyDescent="0.25">
      <c r="Q28" s="17"/>
    </row>
    <row r="33" spans="1:12" x14ac:dyDescent="0.25">
      <c r="E33" s="30">
        <v>8</v>
      </c>
      <c r="F33" s="4" t="str">
        <f>S11</f>
        <v>m</v>
      </c>
    </row>
    <row r="35" spans="1:12" x14ac:dyDescent="0.25">
      <c r="E35" s="25">
        <f>IFERROR(E33+2*(A43/TAN(RADIANS(J41))),0)</f>
        <v>10.038101797977715</v>
      </c>
      <c r="F35" s="4" t="str">
        <f>S11</f>
        <v>m</v>
      </c>
    </row>
    <row r="41" spans="1:12" ht="13.8" x14ac:dyDescent="0.3">
      <c r="I41" s="16" t="s">
        <v>33</v>
      </c>
      <c r="J41" s="47">
        <f>IFERROR(IF(R14=1,R15,IF(R14=2,DEGREES(ATAN(R15/R16)),"tipe lereng?")),0)</f>
        <v>63</v>
      </c>
      <c r="K41" s="47"/>
      <c r="L41" s="26" t="s">
        <v>32</v>
      </c>
    </row>
    <row r="43" spans="1:12" x14ac:dyDescent="0.25">
      <c r="A43" s="30">
        <v>2</v>
      </c>
      <c r="B43" s="4" t="str">
        <f>S11</f>
        <v>m</v>
      </c>
    </row>
    <row r="47" spans="1:12" x14ac:dyDescent="0.25">
      <c r="G47" s="30">
        <v>2</v>
      </c>
      <c r="H47" s="4" t="str">
        <f>S11</f>
        <v>m</v>
      </c>
    </row>
    <row r="51" spans="10:14" x14ac:dyDescent="0.25">
      <c r="M51" s="30">
        <v>0.5</v>
      </c>
      <c r="N51" s="4" t="str">
        <f>S11</f>
        <v>m</v>
      </c>
    </row>
    <row r="56" spans="10:14" x14ac:dyDescent="0.25">
      <c r="J56" s="31">
        <v>0.5</v>
      </c>
      <c r="K56" s="4" t="str">
        <f>S11</f>
        <v>m</v>
      </c>
    </row>
  </sheetData>
  <sheetProtection selectLockedCells="1"/>
  <mergeCells count="29">
    <mergeCell ref="J41:K41"/>
    <mergeCell ref="U18:V18"/>
    <mergeCell ref="W18:X18"/>
    <mergeCell ref="U19:V19"/>
    <mergeCell ref="W19:X19"/>
    <mergeCell ref="W20:X20"/>
    <mergeCell ref="I20:I21"/>
    <mergeCell ref="J20:J21"/>
    <mergeCell ref="K20:K21"/>
    <mergeCell ref="L20:L21"/>
    <mergeCell ref="U20:V20"/>
    <mergeCell ref="U15:V15"/>
    <mergeCell ref="W15:X15"/>
    <mergeCell ref="U16:V16"/>
    <mergeCell ref="W16:X16"/>
    <mergeCell ref="U17:V17"/>
    <mergeCell ref="W17:X17"/>
    <mergeCell ref="U12:V12"/>
    <mergeCell ref="W12:X12"/>
    <mergeCell ref="U13:V13"/>
    <mergeCell ref="W13:X13"/>
    <mergeCell ref="U14:V14"/>
    <mergeCell ref="W14:X14"/>
    <mergeCell ref="D7:E7"/>
    <mergeCell ref="Q7:R7"/>
    <mergeCell ref="U10:V10"/>
    <mergeCell ref="W10:X10"/>
    <mergeCell ref="U11:V11"/>
    <mergeCell ref="W11:X11"/>
  </mergeCells>
  <conditionalFormatting sqref="J41:K41">
    <cfRule type="expression" dxfId="1" priority="1">
      <formula>$R$14&gt;2</formula>
    </cfRule>
  </conditionalFormatting>
  <conditionalFormatting sqref="P16">
    <cfRule type="expression" dxfId="0" priority="2">
      <formula>$R$16=0</formula>
    </cfRule>
  </conditionalFormatting>
  <pageMargins left="0.7" right="0.7" top="0.75" bottom="0.75" header="0.3" footer="0.3"/>
  <pageSetup paperSize="9" scale="86" fitToWidth="0" orientation="portrait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Geomembrane 2 m</vt:lpstr>
      <vt:lpstr>'Geomembrane 2 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Valdy - PT Multibangun Rekatama Patria</dc:creator>
  <cp:lastModifiedBy>Krisandi Saptyanto</cp:lastModifiedBy>
  <cp:lastPrinted>2026-07-10T04:11:02Z</cp:lastPrinted>
  <dcterms:created xsi:type="dcterms:W3CDTF">2024-08-23T02:01:25Z</dcterms:created>
  <dcterms:modified xsi:type="dcterms:W3CDTF">2026-07-10T04:11:28Z</dcterms:modified>
</cp:coreProperties>
</file>